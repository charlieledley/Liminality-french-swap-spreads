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iminalitycapital-my.sharepoint.com/personal/charlie_liminalitycapital_com/Documents/CHL - OLD - Liminality Capital/"/>
    </mc:Choice>
  </mc:AlternateContent>
  <xr:revisionPtr revIDLastSave="0" documentId="8_{FBFB57FA-515D-4B05-BBEC-6FD5EB6304F4}" xr6:coauthVersionLast="47" xr6:coauthVersionMax="47" xr10:uidLastSave="{00000000-0000-0000-0000-000000000000}"/>
  <bookViews>
    <workbookView xWindow="-110" yWindow="-110" windowWidth="19420" windowHeight="11500" xr2:uid="{A09B93F6-77AB-4CA3-9071-66B78F48754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9" i="1" l="1"/>
</calcChain>
</file>

<file path=xl/sharedStrings.xml><?xml version="1.0" encoding="utf-8"?>
<sst xmlns="http://schemas.openxmlformats.org/spreadsheetml/2006/main" count="20" uniqueCount="20">
  <si>
    <t>IRR</t>
  </si>
  <si>
    <t>MOIC</t>
  </si>
  <si>
    <t>1y Sprd At Exp</t>
  </si>
  <si>
    <t>Opt Expiry</t>
  </si>
  <si>
    <t>Yrs Time to Expiry</t>
  </si>
  <si>
    <t>Funding E+ (bps)</t>
  </si>
  <si>
    <t>Bond Underlier</t>
  </si>
  <si>
    <t>FRTR 3 1/4 02/25/32</t>
  </si>
  <si>
    <t>Bond Cusip</t>
  </si>
  <si>
    <t>DK7998596 Cusip</t>
  </si>
  <si>
    <t>Bond Maturity</t>
  </si>
  <si>
    <t>TradeDate</t>
  </si>
  <si>
    <t>SettlementDate</t>
  </si>
  <si>
    <t>Starting Bond Expiry</t>
  </si>
  <si>
    <t>Ending Bond Expiry</t>
  </si>
  <si>
    <t>Trade Date</t>
  </si>
  <si>
    <t>Entry spread</t>
  </si>
  <si>
    <t>Floor strike (from ATMF)</t>
  </si>
  <si>
    <t>Gross of Fees</t>
  </si>
  <si>
    <t>1.1 million of capital (including option premium) per 100m of bond notional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</si>
</sst>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0.0%"/>
    <numFmt numFmtId="166" formatCode="_(* #,##0.0_);_(* \(#,##0.0\);_(* &quot;-&quot;??_);_(@_)"/>
    <numFmt numFmtId="167" formatCode="0.0\x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1">
    <xf numFmtId="0" fontId="0" fillId="0" borderId="0" xfId="0"/>
    <xf numFmtId="164" fontId="0" fillId="0" borderId="0" xfId="0" applyNumberFormat="1"/>
    <xf numFmtId="9" fontId="0" fillId="0" borderId="0" xfId="0" applyNumberFormat="1"/>
    <xf numFmtId="167" fontId="0" fillId="0" borderId="0" xfId="0" applyNumberFormat="1"/>
    <xf numFmtId="0" fontId="3" fillId="0" borderId="0" xfId="0" applyFont="1"/>
    <xf numFmtId="14" fontId="0" fillId="0" borderId="0" xfId="0" applyNumberFormat="1"/>
    <xf numFmtId="2" fontId="0" fillId="0" borderId="0" xfId="0" applyNumberFormat="1"/>
    <xf numFmtId="1" fontId="0" fillId="0" borderId="0" xfId="0" applyNumberFormat="1"/>
    <xf numFmtId="0" fontId="2" fillId="2" borderId="0" xfId="0" applyFont="1" applyFill="1"/>
    <xf numFmtId="2" fontId="2" fillId="2" borderId="0" xfId="0" applyNumberFormat="1" applyFont="1" applyFill="1"/>
    <xf numFmtId="166" fontId="0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9B92B5-012D-40A0-A5EC-6C02B8A18CD3}">
  <dimension ref="B2:X21"/>
  <sheetViews>
    <sheetView tabSelected="1" workbookViewId="0">
      <selection activeCell="D13" sqref="D13"/>
    </sheetView>
  </sheetViews>
  <sheetFormatPr defaultRowHeight="14.5" x14ac:dyDescent="0.35"/>
  <cols>
    <col min="1" max="1" width="3.453125" customWidth="1"/>
    <col min="2" max="2" width="21" customWidth="1"/>
    <col min="3" max="3" width="10.26953125" customWidth="1"/>
    <col min="4" max="4" width="13.54296875" customWidth="1"/>
    <col min="5" max="22" width="6" customWidth="1"/>
  </cols>
  <sheetData>
    <row r="2" spans="2:24" x14ac:dyDescent="0.35">
      <c r="D2" t="s">
        <v>2</v>
      </c>
      <c r="E2" s="4">
        <v>64</v>
      </c>
      <c r="F2" s="4">
        <v>40</v>
      </c>
      <c r="G2" s="4">
        <v>30</v>
      </c>
      <c r="H2" s="4">
        <v>20</v>
      </c>
      <c r="I2" s="4">
        <v>12</v>
      </c>
      <c r="J2" s="4">
        <v>6</v>
      </c>
      <c r="K2" s="4">
        <v>0</v>
      </c>
      <c r="L2" s="4">
        <v>-25</v>
      </c>
      <c r="M2" s="4">
        <v>-50</v>
      </c>
      <c r="N2" s="4">
        <v>-75</v>
      </c>
      <c r="O2" s="4">
        <v>-91</v>
      </c>
      <c r="P2" s="4">
        <v>-100</v>
      </c>
      <c r="Q2" s="4">
        <v>-150</v>
      </c>
      <c r="R2" s="4">
        <v>-200</v>
      </c>
      <c r="S2" s="4">
        <v>-300</v>
      </c>
      <c r="T2" s="4">
        <v>-400</v>
      </c>
      <c r="U2" s="4">
        <v>-445</v>
      </c>
      <c r="V2" s="4">
        <v>-500</v>
      </c>
      <c r="W2" s="4">
        <v>-556</v>
      </c>
      <c r="X2" s="4">
        <v>-572</v>
      </c>
    </row>
    <row r="3" spans="2:24" x14ac:dyDescent="0.35">
      <c r="D3" s="1" t="s">
        <v>0</v>
      </c>
      <c r="E3" s="2">
        <v>0.45989999999999998</v>
      </c>
      <c r="F3" s="2">
        <v>0.4466</v>
      </c>
      <c r="G3" s="2">
        <v>0.441</v>
      </c>
      <c r="H3" s="2">
        <v>0.43530000000000002</v>
      </c>
      <c r="I3" s="2">
        <v>0.43070000000000003</v>
      </c>
      <c r="J3" s="2">
        <v>0.42720000000000002</v>
      </c>
      <c r="K3" s="2">
        <v>0.42359999999999998</v>
      </c>
      <c r="L3" s="2">
        <v>0.40870000000000001</v>
      </c>
      <c r="M3" s="2">
        <v>0.39329999999999998</v>
      </c>
      <c r="N3" s="2">
        <v>0.37740000000000001</v>
      </c>
      <c r="O3" s="2">
        <v>0.3669</v>
      </c>
      <c r="P3" s="2">
        <v>0.36080000000000001</v>
      </c>
      <c r="Q3" s="2">
        <v>0.32579999999999998</v>
      </c>
      <c r="R3" s="2">
        <v>0.28770000000000001</v>
      </c>
      <c r="S3" s="2">
        <v>0.1988</v>
      </c>
      <c r="T3" s="2">
        <v>8.1699999999999995E-2</v>
      </c>
      <c r="U3" s="2">
        <v>0</v>
      </c>
      <c r="V3" s="2"/>
      <c r="W3" s="2"/>
    </row>
    <row r="4" spans="2:24" x14ac:dyDescent="0.35">
      <c r="D4" s="1" t="s">
        <v>1</v>
      </c>
      <c r="E4" s="3">
        <v>5.3248593376892863</v>
      </c>
      <c r="F4" s="3">
        <v>5.1137582901757286</v>
      </c>
      <c r="G4" s="3">
        <v>5.0268369092033236</v>
      </c>
      <c r="H4" s="3">
        <v>4.9395418241504494</v>
      </c>
      <c r="I4" s="3">
        <v>4.8699523402800065</v>
      </c>
      <c r="J4" s="3">
        <v>4.8175139363845902</v>
      </c>
      <c r="K4" s="3">
        <v>4.7640341793319267</v>
      </c>
      <c r="L4" s="3">
        <v>4.5475536831254804</v>
      </c>
      <c r="M4" s="3">
        <v>4.3318887632431391</v>
      </c>
      <c r="N4" s="3">
        <v>4.1176132014230653</v>
      </c>
      <c r="O4" s="3">
        <v>3.9806721128724645</v>
      </c>
      <c r="P4" s="3">
        <v>3.9027506854213758</v>
      </c>
      <c r="Q4" s="3">
        <v>3.4781861778539693</v>
      </c>
      <c r="R4" s="3">
        <v>3.0576020083287325</v>
      </c>
      <c r="S4" s="3">
        <v>2.2287459422514635</v>
      </c>
      <c r="T4" s="3">
        <v>1.414986144580207</v>
      </c>
      <c r="U4" s="3">
        <v>1</v>
      </c>
      <c r="V4" s="3">
        <v>0.6</v>
      </c>
      <c r="W4" s="3">
        <v>0.1</v>
      </c>
      <c r="X4" s="3">
        <v>0</v>
      </c>
    </row>
    <row r="7" spans="2:24" x14ac:dyDescent="0.35">
      <c r="B7" t="s">
        <v>15</v>
      </c>
      <c r="C7" s="5">
        <v>46297</v>
      </c>
    </row>
    <row r="8" spans="2:24" x14ac:dyDescent="0.35">
      <c r="B8" t="s">
        <v>3</v>
      </c>
      <c r="C8" s="5">
        <v>47904</v>
      </c>
    </row>
    <row r="9" spans="2:24" x14ac:dyDescent="0.35">
      <c r="B9" s="8" t="s">
        <v>4</v>
      </c>
      <c r="C9" s="9">
        <f>(C8-C7)/365</f>
        <v>4.4027397260273968</v>
      </c>
    </row>
    <row r="10" spans="2:24" x14ac:dyDescent="0.35">
      <c r="B10" s="7" t="s">
        <v>5</v>
      </c>
      <c r="C10" s="6">
        <v>17</v>
      </c>
    </row>
    <row r="11" spans="2:24" x14ac:dyDescent="0.35">
      <c r="B11" t="s">
        <v>6</v>
      </c>
      <c r="C11" s="5" t="s">
        <v>7</v>
      </c>
    </row>
    <row r="12" spans="2:24" x14ac:dyDescent="0.35">
      <c r="B12" t="s">
        <v>8</v>
      </c>
      <c r="C12" s="5" t="s">
        <v>9</v>
      </c>
    </row>
    <row r="13" spans="2:24" x14ac:dyDescent="0.35">
      <c r="B13" t="s">
        <v>10</v>
      </c>
      <c r="C13" s="5">
        <v>48269</v>
      </c>
    </row>
    <row r="14" spans="2:24" x14ac:dyDescent="0.35">
      <c r="B14" t="s">
        <v>11</v>
      </c>
      <c r="C14" s="5">
        <v>46297</v>
      </c>
    </row>
    <row r="15" spans="2:24" x14ac:dyDescent="0.35">
      <c r="B15" t="s">
        <v>12</v>
      </c>
      <c r="C15" s="5">
        <v>46300</v>
      </c>
    </row>
    <row r="16" spans="2:24" x14ac:dyDescent="0.35">
      <c r="B16" t="s">
        <v>13</v>
      </c>
      <c r="C16" s="6">
        <v>5.4027397260273968</v>
      </c>
    </row>
    <row r="17" spans="2:3" x14ac:dyDescent="0.35">
      <c r="B17" t="s">
        <v>14</v>
      </c>
      <c r="C17" s="6">
        <v>1</v>
      </c>
    </row>
    <row r="18" spans="2:3" x14ac:dyDescent="0.35">
      <c r="B18" t="s">
        <v>16</v>
      </c>
      <c r="C18" s="10">
        <v>-82.9</v>
      </c>
    </row>
    <row r="19" spans="2:3" x14ac:dyDescent="0.35">
      <c r="B19" t="s">
        <v>17</v>
      </c>
      <c r="C19" s="10">
        <v>-30</v>
      </c>
    </row>
    <row r="20" spans="2:3" x14ac:dyDescent="0.35">
      <c r="B20" t="s">
        <v>18</v>
      </c>
    </row>
    <row r="21" spans="2:3" x14ac:dyDescent="0.35">
      <c r="B2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Charlie Ledley</dc:creator>
  <cp:lastModifiedBy>Charlie Ledley</cp:lastModifiedBy>
  <dcterms:created xsi:type="dcterms:W3CDTF">2026-10-05T06:52:15Z</dcterms:created>
  <dcterms:modified xsi:type="dcterms:W3CDTF">2026-10-05T07:17:57Z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SR_MIGRATION_STATUS">
    <vt:lpwstr>2</vt:lpwstr>
  </property>
</Properties>
</file>